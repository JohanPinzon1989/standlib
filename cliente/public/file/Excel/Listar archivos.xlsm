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an.pinzon\Videos\PY\standlib\cliente\public\file\Excel\"/>
    </mc:Choice>
  </mc:AlternateContent>
  <xr:revisionPtr revIDLastSave="0" documentId="13_ncr:1_{19829786-68F2-4594-83A2-58828456AC22}" xr6:coauthVersionLast="47" xr6:coauthVersionMax="47" xr10:uidLastSave="{00000000-0000-0000-0000-000000000000}"/>
  <bookViews>
    <workbookView xWindow="-28920" yWindow="-2340" windowWidth="29040" windowHeight="15990" xr2:uid="{32125AE4-A91E-482E-9BC0-A912F38DAC77}"/>
  </bookViews>
  <sheets>
    <sheet name="Listado de archivo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3" i="1"/>
  <c r="C2" i="1"/>
  <c r="B4" i="1"/>
  <c r="B5" i="1"/>
  <c r="B6" i="1"/>
  <c r="B7" i="1"/>
  <c r="B8" i="1"/>
  <c r="B9" i="1"/>
  <c r="B10" i="1"/>
  <c r="B3" i="1"/>
  <c r="B2" i="1"/>
  <c r="D4" i="1"/>
  <c r="G4" i="1" s="1"/>
  <c r="D5" i="1"/>
  <c r="E5" i="1" s="1"/>
  <c r="D6" i="1"/>
  <c r="G6" i="1" s="1"/>
  <c r="D7" i="1"/>
  <c r="E7" i="1" s="1"/>
  <c r="D8" i="1"/>
  <c r="G8" i="1" s="1"/>
  <c r="D9" i="1"/>
  <c r="E9" i="1" s="1"/>
  <c r="D10" i="1"/>
  <c r="G10" i="1" s="1"/>
  <c r="D3" i="1"/>
  <c r="H3" i="1" s="1"/>
  <c r="D2" i="1"/>
  <c r="F2" i="1" s="1"/>
  <c r="E10" i="1" l="1"/>
  <c r="E8" i="1"/>
  <c r="E6" i="1"/>
  <c r="E3" i="1"/>
  <c r="G3" i="1"/>
  <c r="F3" i="1"/>
  <c r="H10" i="1"/>
  <c r="H6" i="1"/>
  <c r="F10" i="1"/>
  <c r="H9" i="1"/>
  <c r="F8" i="1"/>
  <c r="H7" i="1"/>
  <c r="F6" i="1"/>
  <c r="H5" i="1"/>
  <c r="F4" i="1"/>
  <c r="E4" i="1"/>
  <c r="H8" i="1"/>
  <c r="H4" i="1"/>
  <c r="G9" i="1"/>
  <c r="G7" i="1"/>
  <c r="G5" i="1"/>
  <c r="F9" i="1"/>
  <c r="F7" i="1"/>
  <c r="F5" i="1"/>
  <c r="H2" i="1"/>
  <c r="G2" i="1"/>
  <c r="E2" i="1"/>
</calcChain>
</file>

<file path=xl/sharedStrings.xml><?xml version="1.0" encoding="utf-8"?>
<sst xmlns="http://schemas.openxmlformats.org/spreadsheetml/2006/main" count="17" uniqueCount="17">
  <si>
    <t>Columna1</t>
  </si>
  <si>
    <t>Organismo</t>
  </si>
  <si>
    <t>Nom_Completo</t>
  </si>
  <si>
    <t>Nombre</t>
  </si>
  <si>
    <t>Version</t>
  </si>
  <si>
    <t>Año</t>
  </si>
  <si>
    <t>Tipo_Pago</t>
  </si>
  <si>
    <t>C:\Users\johan.pinzon\Videos\PY\standlib\cliente\public\file\Masivo\ANS\ASME ANS RA-S interpretations volume 2_1_2008_f.pdf</t>
  </si>
  <si>
    <t>C:\Users\johan.pinzon\Videos\PY\standlib\cliente\public\file\Masivo\ANS\ASME ANS RA-S interpretations volume 3_2_2013_p.pdf</t>
  </si>
  <si>
    <t>C:\Users\johan.pinzon\Videos\PY\standlib\cliente\public\file\Masivo\ANS\ASME ANS RA-S-1.2_1_2014_p.pdf</t>
  </si>
  <si>
    <t>C:\Users\johan.pinzon\Videos\PY\standlib\cliente\public\file\Masivo\ANS\ASME ANS RA-S-1.3_1_2017_p.pdf</t>
  </si>
  <si>
    <t>C:\Users\johan.pinzon\Videos\PY\standlib\cliente\public\file\Masivo\ANS\ASME ANS RA-S-1.4_1_2021_f.pdf</t>
  </si>
  <si>
    <t>C:\Users\johan.pinzon\Videos\PY\standlib\cliente\public\file\Masivo\ANS\ASME ANS RA-Sa-2009 errata_1_2009_p.pdf</t>
  </si>
  <si>
    <t>C:\Users\johan.pinzon\Videos\PY\standlib\cliente\public\file\Masivo\ANS\ASME ANS RA-Sa_1_2009_f.pdf</t>
  </si>
  <si>
    <t>C:\Users\johan.pinzon\Videos\PY\standlib\cliente\public\file\Masivo\ANS\ASME ANS RA-Sb_2_2013_f.pdf</t>
  </si>
  <si>
    <t>C:\Users\johan.pinzon\Videos\PY\standlib\cliente\public\file\Masivo\ANS\ASME ANS RA-S_1_2008_p.pdf</t>
  </si>
  <si>
    <t>Columna2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</si>
</sst>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1" applyFont="1" applyAlignment="1" applyProtection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1" applyAlignment="1" applyProtection="1"/>
    <xf numFmtId="0" fontId="0" fillId="0" borderId="0" xfId="0" applyAlignment="1">
      <alignment wrapText="1"/>
    </xf>
    <xf numFmtId="0" fontId="1" fillId="0" borderId="0" xfId="1"/>
    <xf numFmtId="0" fontId="0" fillId="0" borderId="1" xfId="0" applyBorder="1"/>
    <xf numFmtId="0" fontId="0" fillId="0" borderId="2" xfId="0" applyBorder="1" applyAlignment="1">
      <alignment wrapText="1"/>
    </xf>
    <xf numFmtId="0" fontId="1" fillId="0" borderId="1" xfId="1" applyBorder="1" applyAlignment="1"/>
    <xf numFmtId="0" fontId="0" fillId="0" borderId="1" xfId="0" applyFont="1" applyBorder="1"/>
  </cellXfs>
  <cellStyles count="2">
    <cellStyle name="Hipervínculo" xfId="1" builtinId="8"/>
    <cellStyle name="Normal" xfId="0" builtinId="0"/>
  </cellStyles>
  <dxfs count="3"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4"/>
        <name val="Calibri"/>
        <family val="2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0</xdr:row>
          <xdr:rowOff>133350</xdr:rowOff>
        </xdr:from>
        <xdr:to>
          <xdr:col>12</xdr:col>
          <xdr:colOff>152400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listado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142875</xdr:rowOff>
        </xdr:from>
        <xdr:to>
          <xdr:col>10</xdr:col>
          <xdr:colOff>123825</xdr:colOff>
          <xdr:row>0</xdr:row>
          <xdr:rowOff>400050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listado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4994BE-1222-4968-85C3-D908CB49AEE9}" name="Tabla2" displayName="Tabla2" ref="A1:H2" totalsRowShown="0" headerRowDxfId="2">
  <autoFilter ref="A1:H2" xr:uid="{EA4994BE-1222-4968-85C3-D908CB49AEE9}"/>
  <tableColumns count="8">
    <tableColumn id="1" xr3:uid="{3666F587-F3E8-475A-B083-B0E89625C225}" name="Columna1" dataDxfId="1" dataCellStyle="Hipervínculo"/>
    <tableColumn id="2" xr3:uid="{B51BD832-5CD2-475E-B4C6-543ED0A508DD}" name="Columna2" dataDxfId="0" dataCellStyle="Hipervínculo">
      <calculatedColumnFormula>RIGHT(A2, LEN(A2) - FIND("public\", A2) - 6)</calculatedColumnFormula>
    </tableColumn>
    <tableColumn id="3" xr3:uid="{558B8640-B7A1-4DF3-9B49-997692CCA454}" name="Organismo">
      <calculatedColumnFormula>SUBSTITUTE(LEFT((MID(A2, FIND("|", SUBSTITUTE(A2, "\", "|", 10)) + 1, LEN(A2) - FIND("|", SUBSTITUTE(A2, "\", "|", 2)))),FIND("\", (MID(A2, FIND("|", SUBSTITUTE(A2, "\", "|", 10)) + 1, LEN(A2) - FIND("|", SUBSTITUTE(A2, "\", "|", 2))))) - 1),"\","")</calculatedColumnFormula>
    </tableColumn>
    <tableColumn id="8" xr3:uid="{7BB0C2E8-7BE3-4AB0-83DA-9638B9F56345}" name="Nom_Completo">
      <calculatedColumnFormula>SUBSTITUTE(RIGHT(A2,LEN(A2)-FIND("|",SUBSTITUTE(A2,"\","|",LEN(A2)-LEN(SUBSTITUTE(A2,"\",""))))),".pdf","")</calculatedColumnFormula>
    </tableColumn>
    <tableColumn id="5" xr3:uid="{3D76CCB9-8A60-4451-928B-865881FF8A50}" name="Nombre">
      <calculatedColumnFormula>LEFT(D2, FIND("_", D2) - 1)</calculatedColumnFormula>
    </tableColumn>
    <tableColumn id="6" xr3:uid="{EADC410E-4B1E-46B0-915B-EE92B41EDD0A}" name="Version">
      <calculatedColumnFormula>LEFT((MID($D2, FIND("_", $D2) + 1, LEN($D2) - FIND("_", $D2))), FIND("_", (MID($D2, FIND("_", $D2) + 1, LEN($D2) - FIND("_", $D2)))) - 1)</calculatedColumnFormula>
    </tableColumn>
    <tableColumn id="9" xr3:uid="{28256D5D-3F12-40FE-893D-04171AF3362E}" name="Año">
      <calculatedColumnFormula>LEFT(RIGHT(D2, LEN(D2) - FIND("_", D2, FIND("_", D2) + 1)), FIND("_", RIGHT(D2, LEN(D2) - FIND("_", D2, FIND("_", D2) + 1))) - 1)</calculatedColumnFormula>
    </tableColumn>
    <tableColumn id="7" xr3:uid="{2ECAA168-59BA-46C0-B994-B932556352BF}" name="Tipo_Pago">
      <calculatedColumnFormula>IF(RIGHT((MID($D2, FIND("_", $D2) + 1, LEN($D2) - FIND("_", $D2))), FIND("_", (MID($D2, FIND("_", $D2) + 1, LEN($D2) - FIND("_", $D2)))) - 1)="f","No","Si")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Masivo/ANS/ASME%20ANS%20RA-Sb_2_2013_f.pdf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../Masivo/ANS/ASME%20ANS%20RA-S-1.2_1_2014_p.pdf" TargetMode="External"/><Relationship Id="rId7" Type="http://schemas.openxmlformats.org/officeDocument/2006/relationships/hyperlink" Target="../Masivo/ANS/ASME%20ANS%20RA-Sa_1_2009_f.pdf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../Masivo/ANS/ASME%20ANS%20RA-S%20interpretations%20volume%203_2_2013_p.pdf" TargetMode="External"/><Relationship Id="rId1" Type="http://schemas.openxmlformats.org/officeDocument/2006/relationships/hyperlink" Target="../Masivo/ANS/ASME%20ANS%20RA-S%20interpretations%20volume%202_1_2008_f.pdf" TargetMode="External"/><Relationship Id="rId6" Type="http://schemas.openxmlformats.org/officeDocument/2006/relationships/hyperlink" Target="../Masivo/ANS/ASME%20ANS%20RA-Sa-2009%20errata_1_2009_p.pdf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../Masivo/ANS/ASME%20ANS%20RA-S-1.4_1_2021_f.pdf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../Masivo/ANS/ASME%20ANS%20RA-S-1.3_1_2017_p.pdf" TargetMode="External"/><Relationship Id="rId9" Type="http://schemas.openxmlformats.org/officeDocument/2006/relationships/hyperlink" Target="../Masivo/ANS/ASME%20ANS%20RA-S_1_2008_p.pdf" TargetMode="Externa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B406-CB21-40CB-94A8-74F18A5E467E}">
  <sheetPr codeName="Hoja1"/>
  <dimension ref="A1:H19"/>
  <sheetViews>
    <sheetView tabSelected="1" workbookViewId="0">
      <selection activeCell="C14" sqref="C14"/>
    </sheetView>
  </sheetViews>
  <sheetFormatPr baseColWidth="10" defaultRowHeight="15" x14ac:dyDescent="0.25"/>
  <cols>
    <col min="1" max="1" width="55.28515625" customWidth="1"/>
    <col min="2" max="2" width="64.140625" customWidth="1"/>
    <col min="3" max="3" width="18.140625" bestFit="1" customWidth="1"/>
    <col min="4" max="4" width="47.28515625" bestFit="1" customWidth="1"/>
    <col min="5" max="5" width="37.85546875" bestFit="1" customWidth="1"/>
    <col min="6" max="6" width="14.5703125" bestFit="1" customWidth="1"/>
    <col min="7" max="7" width="10.42578125" bestFit="1" customWidth="1"/>
    <col min="8" max="8" width="17.42578125" bestFit="1" customWidth="1"/>
  </cols>
  <sheetData>
    <row r="1" spans="1:8" ht="63.75" customHeight="1" x14ac:dyDescent="0.25">
      <c r="A1" s="1" t="s">
        <v>0</v>
      </c>
      <c r="B1" s="1" t="s">
        <v>16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 x14ac:dyDescent="0.25">
      <c r="A2" s="3" t="s">
        <v>7</v>
      </c>
      <c r="B2" s="3" t="str">
        <f>RIGHT(A2, LEN(A2) - FIND("public\", A2) - 6)</f>
        <v>file\Masivo\ANS\ASME ANS RA-S interpretations volume 2_1_2008_f.pdf</v>
      </c>
      <c r="C2" t="str">
        <f>SUBSTITUTE(LEFT((MID(A2, FIND("|", SUBSTITUTE(A2, "\", "|", 10)) + 1, LEN(A2) - FIND("|", SUBSTITUTE(A2, "\", "|", 2)))),FIND("\", (MID(A2, FIND("|", SUBSTITUTE(A2, "\", "|", 10)) + 1, LEN(A2) - FIND("|", SUBSTITUTE(A2, "\", "|", 2))))) - 1),"\","")</f>
        <v>ANS</v>
      </c>
      <c r="D2" t="str">
        <f t="shared" ref="D2:D10" si="0">SUBSTITUTE(RIGHT(A2,LEN(A2)-FIND("|",SUBSTITUTE(A2,"\","|",LEN(A2)-LEN(SUBSTITUTE(A2,"\",""))))),".pdf","")</f>
        <v>ASME ANS RA-S interpretations volume 2_1_2008_f</v>
      </c>
      <c r="E2" t="str">
        <f>LEFT(D2, FIND("_", D2) - 1)</f>
        <v>ASME ANS RA-S interpretations volume 2</v>
      </c>
      <c r="F2" t="str">
        <f t="shared" ref="F2:F10" si="1">LEFT((MID($D2, FIND("_", $D2) + 1, LEN($D2) - FIND("_", $D2))), FIND("_", (MID($D2, FIND("_", $D2) + 1, LEN($D2) - FIND("_", $D2)))) - 1)</f>
        <v>1</v>
      </c>
      <c r="G2" t="str">
        <f>LEFT(RIGHT(D2, LEN(D2) - FIND("_", D2, FIND("_", D2) + 1)), FIND("_", RIGHT(D2, LEN(D2) - FIND("_", D2, FIND("_", D2) + 1))) - 1)</f>
        <v>2008</v>
      </c>
      <c r="H2" s="4" t="str">
        <f t="shared" ref="H2:H10" si="2">IF(RIGHT((MID($D2, FIND("_", $D2) + 1, LEN($D2) - FIND("_", $D2))), FIND("_", (MID($D2, FIND("_", $D2) + 1, LEN($D2) - FIND("_", $D2)))) - 1)="f","No","Si")</f>
        <v>No</v>
      </c>
    </row>
    <row r="3" spans="1:8" x14ac:dyDescent="0.25">
      <c r="A3" s="5" t="s">
        <v>8</v>
      </c>
      <c r="B3" s="8" t="str">
        <f>RIGHT(A3, LEN(A3) - FIND("public\", A3) - 6)</f>
        <v>file\Masivo\ANS\ASME ANS RA-S interpretations volume 3_2_2013_p.pdf</v>
      </c>
      <c r="C3" s="9" t="str">
        <f>SUBSTITUTE(LEFT((MID(A3, FIND("|", SUBSTITUTE(A3, "\", "|", 10)) + 1, LEN(A3) - FIND("|", SUBSTITUTE(A3, "\", "|", 2)))),FIND("\", (MID(A3, FIND("|", SUBSTITUTE(A3, "\", "|", 10)) + 1, LEN(A3) - FIND("|", SUBSTITUTE(A3, "\", "|", 2))))) - 1),"\","")</f>
        <v>ANS</v>
      </c>
      <c r="D3" s="6" t="str">
        <f t="shared" si="0"/>
        <v>ASME ANS RA-S interpretations volume 3_2_2013_p</v>
      </c>
      <c r="E3" s="6" t="str">
        <f>LEFT(D3, FIND("_", D3) - 1)</f>
        <v>ASME ANS RA-S interpretations volume 3</v>
      </c>
      <c r="F3" s="6" t="str">
        <f t="shared" si="1"/>
        <v>2</v>
      </c>
      <c r="G3" s="6" t="str">
        <f>LEFT(RIGHT(D3, LEN(D3) - FIND("_", D3, FIND("_", D3) + 1)), FIND("_", RIGHT(D3, LEN(D3) - FIND("_", D3, FIND("_", D3) + 1))) - 1)</f>
        <v>2013</v>
      </c>
      <c r="H3" s="7" t="str">
        <f t="shared" si="2"/>
        <v>Si</v>
      </c>
    </row>
    <row r="4" spans="1:8" x14ac:dyDescent="0.25">
      <c r="A4" s="5" t="s">
        <v>9</v>
      </c>
      <c r="B4" s="8" t="str">
        <f t="shared" ref="B4:B10" si="3">RIGHT(A4, LEN(A4) - FIND("public\", A4) - 6)</f>
        <v>file\Masivo\ANS\ASME ANS RA-S-1.2_1_2014_p.pdf</v>
      </c>
      <c r="C4" s="9" t="str">
        <f t="shared" ref="C4:C10" si="4">SUBSTITUTE(LEFT((MID(A4, FIND("|", SUBSTITUTE(A4, "\", "|", 10)) + 1, LEN(A4) - FIND("|", SUBSTITUTE(A4, "\", "|", 2)))),FIND("\", (MID(A4, FIND("|", SUBSTITUTE(A4, "\", "|", 10)) + 1, LEN(A4) - FIND("|", SUBSTITUTE(A4, "\", "|", 2))))) - 1),"\","")</f>
        <v>ANS</v>
      </c>
      <c r="D4" s="6" t="str">
        <f t="shared" si="0"/>
        <v>ASME ANS RA-S-1.2_1_2014_p</v>
      </c>
      <c r="E4" s="6" t="str">
        <f t="shared" ref="E4:E10" si="5">LEFT(D4, FIND("_", D4) - 1)</f>
        <v>ASME ANS RA-S-1.2</v>
      </c>
      <c r="F4" s="6" t="str">
        <f t="shared" si="1"/>
        <v>1</v>
      </c>
      <c r="G4" s="6" t="str">
        <f t="shared" ref="G4:G10" si="6">LEFT(RIGHT(D4, LEN(D4) - FIND("_", D4, FIND("_", D4) + 1)), FIND("_", RIGHT(D4, LEN(D4) - FIND("_", D4, FIND("_", D4) + 1))) - 1)</f>
        <v>2014</v>
      </c>
      <c r="H4" s="7" t="str">
        <f t="shared" si="2"/>
        <v>Si</v>
      </c>
    </row>
    <row r="5" spans="1:8" x14ac:dyDescent="0.25">
      <c r="A5" s="5" t="s">
        <v>10</v>
      </c>
      <c r="B5" s="8" t="str">
        <f t="shared" si="3"/>
        <v>file\Masivo\ANS\ASME ANS RA-S-1.3_1_2017_p.pdf</v>
      </c>
      <c r="C5" s="9" t="str">
        <f t="shared" si="4"/>
        <v>ANS</v>
      </c>
      <c r="D5" s="6" t="str">
        <f t="shared" si="0"/>
        <v>ASME ANS RA-S-1.3_1_2017_p</v>
      </c>
      <c r="E5" s="6" t="str">
        <f t="shared" si="5"/>
        <v>ASME ANS RA-S-1.3</v>
      </c>
      <c r="F5" s="6" t="str">
        <f t="shared" si="1"/>
        <v>1</v>
      </c>
      <c r="G5" s="6" t="str">
        <f t="shared" si="6"/>
        <v>2017</v>
      </c>
      <c r="H5" s="7" t="str">
        <f t="shared" si="2"/>
        <v>Si</v>
      </c>
    </row>
    <row r="6" spans="1:8" x14ac:dyDescent="0.25">
      <c r="A6" s="5" t="s">
        <v>11</v>
      </c>
      <c r="B6" s="8" t="str">
        <f t="shared" si="3"/>
        <v>file\Masivo\ANS\ASME ANS RA-S-1.4_1_2021_f.pdf</v>
      </c>
      <c r="C6" s="9" t="str">
        <f t="shared" si="4"/>
        <v>ANS</v>
      </c>
      <c r="D6" s="6" t="str">
        <f t="shared" si="0"/>
        <v>ASME ANS RA-S-1.4_1_2021_f</v>
      </c>
      <c r="E6" s="6" t="str">
        <f t="shared" si="5"/>
        <v>ASME ANS RA-S-1.4</v>
      </c>
      <c r="F6" s="6" t="str">
        <f t="shared" si="1"/>
        <v>1</v>
      </c>
      <c r="G6" s="6" t="str">
        <f t="shared" si="6"/>
        <v>2021</v>
      </c>
      <c r="H6" s="7" t="str">
        <f t="shared" si="2"/>
        <v>No</v>
      </c>
    </row>
    <row r="7" spans="1:8" x14ac:dyDescent="0.25">
      <c r="A7" s="5" t="s">
        <v>12</v>
      </c>
      <c r="B7" s="8" t="str">
        <f t="shared" si="3"/>
        <v>file\Masivo\ANS\ASME ANS RA-Sa-2009 errata_1_2009_p.pdf</v>
      </c>
      <c r="C7" s="9" t="str">
        <f t="shared" si="4"/>
        <v>ANS</v>
      </c>
      <c r="D7" s="6" t="str">
        <f t="shared" si="0"/>
        <v>ASME ANS RA-Sa-2009 errata_1_2009_p</v>
      </c>
      <c r="E7" s="6" t="str">
        <f t="shared" si="5"/>
        <v>ASME ANS RA-Sa-2009 errata</v>
      </c>
      <c r="F7" s="6" t="str">
        <f t="shared" si="1"/>
        <v>1</v>
      </c>
      <c r="G7" s="6" t="str">
        <f t="shared" si="6"/>
        <v>2009</v>
      </c>
      <c r="H7" s="7" t="str">
        <f t="shared" si="2"/>
        <v>Si</v>
      </c>
    </row>
    <row r="8" spans="1:8" x14ac:dyDescent="0.25">
      <c r="A8" s="5" t="s">
        <v>13</v>
      </c>
      <c r="B8" s="8" t="str">
        <f t="shared" si="3"/>
        <v>file\Masivo\ANS\ASME ANS RA-Sa_1_2009_f.pdf</v>
      </c>
      <c r="C8" s="9" t="str">
        <f t="shared" si="4"/>
        <v>ANS</v>
      </c>
      <c r="D8" s="6" t="str">
        <f t="shared" si="0"/>
        <v>ASME ANS RA-Sa_1_2009_f</v>
      </c>
      <c r="E8" s="6" t="str">
        <f t="shared" si="5"/>
        <v>ASME ANS RA-Sa</v>
      </c>
      <c r="F8" s="6" t="str">
        <f t="shared" si="1"/>
        <v>1</v>
      </c>
      <c r="G8" s="6" t="str">
        <f t="shared" si="6"/>
        <v>2009</v>
      </c>
      <c r="H8" s="7" t="str">
        <f t="shared" si="2"/>
        <v>No</v>
      </c>
    </row>
    <row r="9" spans="1:8" x14ac:dyDescent="0.25">
      <c r="A9" s="5" t="s">
        <v>14</v>
      </c>
      <c r="B9" s="8" t="str">
        <f t="shared" si="3"/>
        <v>file\Masivo\ANS\ASME ANS RA-Sb_2_2013_f.pdf</v>
      </c>
      <c r="C9" s="9" t="str">
        <f t="shared" si="4"/>
        <v>ANS</v>
      </c>
      <c r="D9" s="6" t="str">
        <f t="shared" si="0"/>
        <v>ASME ANS RA-Sb_2_2013_f</v>
      </c>
      <c r="E9" s="6" t="str">
        <f t="shared" si="5"/>
        <v>ASME ANS RA-Sb</v>
      </c>
      <c r="F9" s="6" t="str">
        <f t="shared" si="1"/>
        <v>2</v>
      </c>
      <c r="G9" s="6" t="str">
        <f t="shared" si="6"/>
        <v>2013</v>
      </c>
      <c r="H9" s="7" t="str">
        <f t="shared" si="2"/>
        <v>No</v>
      </c>
    </row>
    <row r="10" spans="1:8" x14ac:dyDescent="0.25">
      <c r="A10" s="5" t="s">
        <v>15</v>
      </c>
      <c r="B10" s="8" t="str">
        <f t="shared" si="3"/>
        <v>file\Masivo\ANS\ASME ANS RA-S_1_2008_p.pdf</v>
      </c>
      <c r="C10" s="9" t="str">
        <f t="shared" si="4"/>
        <v>ANS</v>
      </c>
      <c r="D10" s="6" t="str">
        <f t="shared" si="0"/>
        <v>ASME ANS RA-S_1_2008_p</v>
      </c>
      <c r="E10" s="6" t="str">
        <f t="shared" si="5"/>
        <v>ASME ANS RA-S</v>
      </c>
      <c r="F10" s="6" t="str">
        <f t="shared" si="1"/>
        <v>1</v>
      </c>
      <c r="G10" s="6" t="str">
        <f t="shared" si="6"/>
        <v>2008</v>
      </c>
      <c r="H10" s="7" t="str">
        <f t="shared" si="2"/>
        <v>Si</v>
      </c>
    </row>
    <row r="11" spans="1:8" x14ac:dyDescent="0.25">
      <c r="A11" s="5"/>
      <c r="B11" s="5"/>
    </row>
    <row r="12" spans="1:8" x14ac:dyDescent="0.25">
      <c r="A12" s="5"/>
      <c r="B12" s="5"/>
    </row>
    <row r="13" spans="1:8" x14ac:dyDescent="0.25">
      <c r="A13" s="5"/>
      <c r="B13" s="5"/>
    </row>
    <row r="14" spans="1:8" x14ac:dyDescent="0.25">
      <c r="A14" s="5"/>
      <c r="B14" s="5"/>
    </row>
    <row r="15" spans="1:8" x14ac:dyDescent="0.25">
      <c r="A15" s="5"/>
      <c r="B15" s="5"/>
    </row>
    <row r="16" spans="1:8" x14ac:dyDescent="0.25">
      <c r="A16" s="5"/>
      <c r="B16" s="5"/>
    </row>
    <row r="17" spans="1:2" x14ac:dyDescent="0.25">
      <c r="A17" s="5"/>
      <c r="B17" s="5"/>
    </row>
    <row r="18" spans="1:2" x14ac:dyDescent="0.25">
      <c r="A18" s="5"/>
      <c r="B18" s="5"/>
    </row>
    <row r="19" spans="1:2" x14ac:dyDescent="0.25">
      <c r="A19" s="5"/>
      <c r="B19" s="5"/>
    </row>
  </sheetData>
  <phoneticPr fontId="5" type="noConversion"/>
  <hyperlinks>
    <hyperlink ref="A2" r:id="rId1" xr:uid="{30F0A86B-87ED-4D16-9C35-6D69B3C717D4}"/>
    <hyperlink ref="A3" r:id="rId2" xr:uid="{584706D7-5FA4-43AF-88AF-3F452E22BEF5}"/>
    <hyperlink ref="A4" r:id="rId3" xr:uid="{F1259992-01F1-4D8F-B826-14D8E41D8383}"/>
    <hyperlink ref="A5" r:id="rId4" xr:uid="{5A349317-7D71-4F77-BF0F-A12E50E6DD26}"/>
    <hyperlink ref="A6" r:id="rId5" xr:uid="{24649C8A-C16E-44AE-AFD8-E652AC7E40DC}"/>
    <hyperlink ref="A7" r:id="rId6" xr:uid="{F0F6D6CF-ACEC-4ECD-8E11-690456B5DC49}"/>
    <hyperlink ref="A8" r:id="rId7" xr:uid="{8EE8B424-FC1B-4C00-B2C6-BD8B44C5CF67}"/>
    <hyperlink ref="A9" r:id="rId8" xr:uid="{E0E5FE9A-F30A-4038-9916-5CE579B2D648}"/>
    <hyperlink ref="A10" r:id="rId9" xr:uid="{8A7E9523-18FF-45D0-ADD0-5A55A87BBD8F}"/>
  </hyperlinks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Borrar_Listado">
                <anchor moveWithCells="1" sizeWithCells="1">
                  <from>
                    <xdr:col>10</xdr:col>
                    <xdr:colOff>228600</xdr:colOff>
                    <xdr:row>0</xdr:row>
                    <xdr:rowOff>133350</xdr:rowOff>
                  </from>
                  <to>
                    <xdr:col>12</xdr:col>
                    <xdr:colOff>152400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3" name="Button 2">
              <controlPr defaultSize="0" print="0" autoFill="0" autoPict="0" macro="[0]!LISTA_DE_ARCHIVOS">
                <anchor moveWithCells="1" sizeWithCells="1">
                  <from>
                    <xdr:col>8</xdr:col>
                    <xdr:colOff>200025</xdr:colOff>
                    <xdr:row>0</xdr:row>
                    <xdr:rowOff>142875</xdr:rowOff>
                  </from>
                  <to>
                    <xdr:col>10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8d5bcc-98ee-4f2f-b8ea-af8e07ae346d">
      <Terms xmlns="http://schemas.microsoft.com/office/infopath/2007/PartnerControls"/>
    </lcf76f155ced4ddcb4097134ff3c332f>
    <TaxCatchAll xmlns="44d425a4-058c-4bf7-a812-f4a41d38d70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C69282B2C8A94FB139141BE0E7F565" ma:contentTypeVersion="18" ma:contentTypeDescription="Crear nuevo documento." ma:contentTypeScope="" ma:versionID="8e43821924cb023263bb5aa55b055162">
  <xsd:schema xmlns:xsd="http://www.w3.org/2001/XMLSchema" xmlns:xs="http://www.w3.org/2001/XMLSchema" xmlns:p="http://schemas.microsoft.com/office/2006/metadata/properties" xmlns:ns2="f78d5bcc-98ee-4f2f-b8ea-af8e07ae346d" xmlns:ns3="44d425a4-058c-4bf7-a812-f4a41d38d70b" targetNamespace="http://schemas.microsoft.com/office/2006/metadata/properties" ma:root="true" ma:fieldsID="9166fc9f38f61d1b49e39c6c25b9a919" ns2:_="" ns3:_="">
    <xsd:import namespace="f78d5bcc-98ee-4f2f-b8ea-af8e07ae346d"/>
    <xsd:import namespace="44d425a4-058c-4bf7-a812-f4a41d38d7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8d5bcc-98ee-4f2f-b8ea-af8e07ae34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1f26ceb3-a1d6-4303-bdf9-afe82c037d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d425a4-058c-4bf7-a812-f4a41d38d70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dfc0261-619a-4f23-866e-34f837db0da4}" ma:internalName="TaxCatchAll" ma:showField="CatchAllData" ma:web="44d425a4-058c-4bf7-a812-f4a41d38d7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8EC632-CA1F-4BB2-8D94-DF7678C3A9CC}">
  <ds:schemaRefs>
    <ds:schemaRef ds:uri="http://schemas.microsoft.com/office/2006/metadata/properties"/>
    <ds:schemaRef ds:uri="http://schemas.microsoft.com/office/infopath/2007/PartnerControls"/>
    <ds:schemaRef ds:uri="f78d5bcc-98ee-4f2f-b8ea-af8e07ae346d"/>
    <ds:schemaRef ds:uri="44d425a4-058c-4bf7-a812-f4a41d38d70b"/>
  </ds:schemaRefs>
</ds:datastoreItem>
</file>

<file path=customXml/itemProps2.xml><?xml version="1.0" encoding="utf-8"?>
<ds:datastoreItem xmlns:ds="http://schemas.openxmlformats.org/officeDocument/2006/customXml" ds:itemID="{FD8E750C-ED59-4289-87FC-A1AFD3AE01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A902B6-BC1C-4CA2-9F00-4A1523E08A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8d5bcc-98ee-4f2f-b8ea-af8e07ae346d"/>
    <ds:schemaRef ds:uri="44d425a4-058c-4bf7-a812-f4a41d38d7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Listado de archivos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Enrique Pinzon Rodriguez</dc:creator>
  <cp:lastModifiedBy>Johan Enrique Pinzon Rodriguez</cp:lastModifiedBy>
  <dcterms:created xsi:type="dcterms:W3CDTF">2023-10-28T23:52:15Z</dcterms:created>
  <dcterms:modified xsi:type="dcterms:W3CDTF">2023-10-30T16:11:13Z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0x01010094C69282B2C8A94FB139141BE0E7F565</vt:lpwstr>
  </property>
  <property fmtid="{D5CDD505-2E9C-101B-9397-08002B2CF9AE}" pid="3" name="MediaServiceImageTags">
    <vt:lpwstr/>
  </property>
</Properties>
</file>